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n\OneDrive\Desktop\Personal Projects\Data Analyst\EXCEL\"/>
    </mc:Choice>
  </mc:AlternateContent>
  <xr:revisionPtr revIDLastSave="0" documentId="13_ncr:1_{10D7BA35-3AB2-40D2-B29C-BD6277464F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Da'!$A$1:$N$47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<sst xmlns="http://schemas.openxmlformats.org/spreadsheetml/2006/main" count="244" uniqueCount="143">
  <si>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</si>
  <si>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</si>
  <si>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</si>
  <si>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</si>
  <si>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</si>
  <si>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</si>
  <si>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</si>
  <si>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</si>
  <si>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</si>
  <si>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</si>
  <si>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</si>
  <si>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</si>
  <si>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</si>
  <si>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</si>
  <si>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</si>
  <si>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</si>
  <si>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</si>
  <si>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</si>
  <si>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</si>
  <si>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</si>
  <si>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</si>
  <si>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</si>
  <si>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</si>
  <si>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</si>
  <si>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</si>
  <si>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</si>
  <si>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</si>
  <si>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</si>
  <si>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</si>
  <si>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</si>
  <si>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</si>
  <si>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</si>
  <si>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</si>
  <si>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</si>
  <si>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</si>
  <si>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</si>
  <si>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</si>
  <si>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</si>
  <si>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</si>
  <si>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</si>
  <si>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</si>
  <si>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</si>
  <si>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</si>
  <si>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</si>
  <si>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</si>
  <si>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</si>
  <si>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</si>
  <si>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</si>
  <si>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</si>
  <si>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</si>
  <si>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</si>
  <si>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</si>
  <si>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</si>
  <si>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</si>
  <si>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</si>
  <si>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</si>
  <si>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</si>
  <si>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</si>
  <si>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</si>
  <si>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</si>
  <si>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</si>
  <si>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</si>
  <si>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</si>
  <si>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</si>
  <si>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</si>
  <si>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</si>
  <si>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</si>
  <si>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</si>
  <si>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</si>
  <si>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</si>
  <si>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</si>
  <si>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</si>
  <si>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</si>
  <si>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</si>
  <si>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</si>
  <si>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</si>
  <si>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</si>
  <si>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</si>
  <si>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</si>
  <si>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</si>
  <si>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</si>
  <si>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</si>
  <si>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</si>
  <si>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</si>
  <si>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</si>
  <si>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</si>
  <si>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</si>
  <si>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</si>
  <si>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</si>
  <si>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</si>
  <si>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</si>
  <si>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</si>
  <si>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</si>
  <si>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</si>
  <si>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</si>
  <si>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</si>
  <si>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</si>
  <si>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</si>
  <si>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</si>
  <si>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</si>
  <si>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</si>
  <si>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</si>
  <si>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</si>
  <si>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</si>
  <si>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</si>
  <si>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</si>
  <si>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</si>
  <si>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</si>
  <si>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</si>
  <si>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</si>
  <si>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</si>
  <si>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</si>
  <si>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</si>
  <si>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</si>
  <si>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</si>
  <si>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</si>
  <si>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</si>
  <si>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</si>
  <si>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</si>
  <si>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</si>
  <si>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</si>
  <si>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</si>
  <si>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</si>
  <si>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</si>
  <si>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</si>
  <si>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</si>
  <si>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</si>
  <si>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</si>
  <si>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</si>
  <si>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</si>
  <si>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</si>
  <si>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</si>
  <si>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</si>
  <si>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</si>
  <si>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</si>
  <si>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</si>
  <si>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</si>
  <si>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 fixed</t>
  </si>
  <si>
    <t>party fixed</t>
  </si>
  <si>
    <t>prior fixed</t>
  </si>
  <si>
    <t>vice fixed</t>
  </si>
  <si>
    <t>date updated fixed</t>
  </si>
  <si>
    <t>date created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</si>
</sst>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I1" workbookViewId="0">
      <selection activeCell="P6" sqref="P6"/>
    </sheetView>
  </sheetViews>
  <sheetFormatPr defaultColWidth="23.5546875" defaultRowHeight="14.4" x14ac:dyDescent="0.3"/>
  <cols>
    <col min="5" max="5" width="56.33203125" customWidth="1"/>
    <col min="11" max="11" width="23.5546875" style="3"/>
  </cols>
  <sheetData>
    <row r="1" spans="1:15" x14ac:dyDescent="0.3">
      <c r="B1" t="s">
        <v>0</v>
      </c>
      <c r="C1" t="s">
        <v>1</v>
      </c>
      <c r="D1" t="s">
        <v>137</v>
      </c>
      <c r="E1" t="s">
        <v>2</v>
      </c>
      <c r="F1" t="s">
        <v>139</v>
      </c>
      <c r="G1" t="s">
        <v>3</v>
      </c>
      <c r="H1" t="s">
        <v>138</v>
      </c>
      <c r="I1" t="s">
        <v>4</v>
      </c>
      <c r="J1" t="s">
        <v>140</v>
      </c>
      <c r="K1" s="3" t="s">
        <v>134</v>
      </c>
      <c r="L1" t="s">
        <v>136</v>
      </c>
      <c r="M1" t="s">
        <v>141</v>
      </c>
      <c r="N1" t="s">
        <v>135</v>
      </c>
      <c r="O1" t="s">
        <v>142</v>
      </c>
    </row>
    <row r="2" spans="1:15" x14ac:dyDescent="0.3">
      <c r="A2">
        <v>0</v>
      </c>
      <c r="B2">
        <v>1</v>
      </c>
      <c r="C2" t="s">
        <v>5</v>
      </c>
      <c r="D2" t="str">
        <f>TRIM(PROPER(C2))</f>
        <v>George Washington</v>
      </c>
      <c r="E2" t="s">
        <v>6</v>
      </c>
      <c r="F2" t="str">
        <f>TRIM(E2)</f>
        <v>Commander-in-Chief of the Continental Army ( 1775â€“1783 )</v>
      </c>
      <c r="G2" t="s">
        <v>131</v>
      </c>
      <c r="H2" t="s">
        <v>131</v>
      </c>
      <c r="I2" t="s">
        <v>7</v>
      </c>
      <c r="J2" t="str">
        <f>TRIM(I2)</f>
        <v>John Adams</v>
      </c>
      <c r="K2" s="3">
        <v>5000</v>
      </c>
      <c r="L2" s="1">
        <v>44391</v>
      </c>
      <c r="M2" s="1">
        <v>44391</v>
      </c>
      <c r="N2" s="1">
        <v>40972</v>
      </c>
      <c r="O2" s="1">
        <v>40972</v>
      </c>
    </row>
    <row r="3" spans="1:15" x14ac:dyDescent="0.3">
      <c r="A3">
        <v>1</v>
      </c>
      <c r="B3">
        <v>2</v>
      </c>
      <c r="C3" t="s">
        <v>8</v>
      </c>
      <c r="D3" t="str">
        <f t="shared" ref="D3:D47" si="0">TRIM(PROPER(C3))</f>
        <v>John Adams</v>
      </c>
      <c r="E3" t="s">
        <v>9</v>
      </c>
      <c r="F3" t="str">
        <f t="shared" ref="F3:F47" si="1">TRIM(E3)</f>
        <v>1st Vice President of the United States</v>
      </c>
      <c r="G3" t="s">
        <v>10</v>
      </c>
      <c r="H3" t="s">
        <v>10</v>
      </c>
      <c r="I3" t="s">
        <v>11</v>
      </c>
      <c r="J3" t="str">
        <f t="shared" ref="J3:J47" si="2">TRIM(I3)</f>
        <v>Thomas Jefferson</v>
      </c>
      <c r="K3" s="3">
        <v>10000</v>
      </c>
      <c r="L3" s="1">
        <v>44391</v>
      </c>
      <c r="M3" s="1">
        <v>44391</v>
      </c>
      <c r="N3" s="1">
        <v>40972</v>
      </c>
      <c r="O3" s="1">
        <v>40972</v>
      </c>
    </row>
    <row r="4" spans="1:15" x14ac:dyDescent="0.3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tr">
        <f t="shared" si="1"/>
        <v>2nd Vice President of the United States</v>
      </c>
      <c r="G4" t="s">
        <v>13</v>
      </c>
      <c r="H4" t="s">
        <v>13</v>
      </c>
      <c r="I4" t="s">
        <v>14</v>
      </c>
      <c r="J4" t="str">
        <f t="shared" si="2"/>
        <v>Aaron Burr</v>
      </c>
      <c r="K4" s="3">
        <v>15000</v>
      </c>
      <c r="L4" s="1">
        <v>44391</v>
      </c>
      <c r="M4" s="1">
        <v>44391</v>
      </c>
      <c r="N4" s="1">
        <v>40972</v>
      </c>
      <c r="O4" s="1">
        <v>40972</v>
      </c>
    </row>
    <row r="5" spans="1:15" x14ac:dyDescent="0.3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tr">
        <f t="shared" si="1"/>
        <v>5th United States Secretary of State (1801â€“1809)</v>
      </c>
      <c r="G5" t="s">
        <v>13</v>
      </c>
      <c r="H5" t="s">
        <v>13</v>
      </c>
      <c r="I5" t="s">
        <v>17</v>
      </c>
      <c r="J5" t="str">
        <f t="shared" si="2"/>
        <v>George Clinton</v>
      </c>
      <c r="K5" s="3">
        <v>20000</v>
      </c>
      <c r="L5" s="1">
        <v>44391</v>
      </c>
      <c r="M5" s="1">
        <v>44391</v>
      </c>
      <c r="N5" s="1">
        <v>40972</v>
      </c>
      <c r="O5" s="1">
        <v>40972</v>
      </c>
    </row>
    <row r="6" spans="1:15" x14ac:dyDescent="0.3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tr">
        <f t="shared" si="1"/>
        <v>7th United States Secretary of State (1811â€“1817)</v>
      </c>
      <c r="G6" t="s">
        <v>13</v>
      </c>
      <c r="H6" t="s">
        <v>13</v>
      </c>
      <c r="I6" t="s">
        <v>20</v>
      </c>
      <c r="J6" t="str">
        <f t="shared" si="2"/>
        <v>Daniel D. Tompkins</v>
      </c>
      <c r="K6" s="3">
        <v>25000</v>
      </c>
      <c r="L6" s="1">
        <v>44391</v>
      </c>
      <c r="M6" s="1">
        <v>44391</v>
      </c>
      <c r="N6" s="1">
        <v>40972</v>
      </c>
      <c r="O6" s="1">
        <v>40972</v>
      </c>
    </row>
    <row r="7" spans="1:15" x14ac:dyDescent="0.3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tr">
        <f t="shared" si="1"/>
        <v>8th United States Secretary of State (1817â€“1825)</v>
      </c>
      <c r="G7" t="s">
        <v>13</v>
      </c>
      <c r="H7" t="s">
        <v>13</v>
      </c>
      <c r="I7" t="s">
        <v>23</v>
      </c>
      <c r="J7" t="str">
        <f t="shared" si="2"/>
        <v>John C. Calhoun</v>
      </c>
      <c r="K7" s="3">
        <v>30000</v>
      </c>
      <c r="L7" s="1">
        <v>44391</v>
      </c>
      <c r="M7" s="1">
        <v>44391</v>
      </c>
      <c r="N7" s="1">
        <v>40972</v>
      </c>
      <c r="O7" s="1">
        <v>40972</v>
      </c>
    </row>
    <row r="8" spans="1:15" x14ac:dyDescent="0.3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tr">
        <f t="shared" si="1"/>
        <v>U.S. Senator ( Class 2 ) from Tennessee (1823â€“1825)</v>
      </c>
      <c r="G8" t="s">
        <v>26</v>
      </c>
      <c r="H8" t="s">
        <v>26</v>
      </c>
      <c r="I8" t="s">
        <v>27</v>
      </c>
      <c r="J8" t="str">
        <f t="shared" si="2"/>
        <v>John C. Calhoun</v>
      </c>
      <c r="K8" s="3">
        <v>35000</v>
      </c>
      <c r="L8" s="1">
        <v>44391</v>
      </c>
      <c r="M8" s="1">
        <v>44391</v>
      </c>
      <c r="N8" s="1">
        <v>40972</v>
      </c>
      <c r="O8" s="1">
        <v>40972</v>
      </c>
    </row>
    <row r="9" spans="1:15" x14ac:dyDescent="0.3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tr">
        <f t="shared" si="1"/>
        <v>8th Vice President of the United States</v>
      </c>
      <c r="G9" t="s">
        <v>26</v>
      </c>
      <c r="H9" t="s">
        <v>26</v>
      </c>
      <c r="I9" t="s">
        <v>30</v>
      </c>
      <c r="J9" t="str">
        <f t="shared" si="2"/>
        <v>Richard Mentor Johnson</v>
      </c>
      <c r="K9" s="3">
        <v>40000</v>
      </c>
      <c r="L9" s="1">
        <v>44391</v>
      </c>
      <c r="M9" s="1">
        <v>44391</v>
      </c>
      <c r="N9" s="1">
        <v>40972</v>
      </c>
      <c r="O9" s="1">
        <v>40972</v>
      </c>
    </row>
    <row r="10" spans="1:15" x14ac:dyDescent="0.3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tr">
        <f t="shared" si="1"/>
        <v>United States Minister to Colombia (1828â€“1829)</v>
      </c>
      <c r="G10" t="s">
        <v>33</v>
      </c>
      <c r="H10" t="s">
        <v>33</v>
      </c>
      <c r="I10" t="s">
        <v>34</v>
      </c>
      <c r="J10" t="str">
        <f t="shared" si="2"/>
        <v>John Tyler</v>
      </c>
      <c r="K10" s="3">
        <v>45000</v>
      </c>
      <c r="L10" s="1">
        <v>44391</v>
      </c>
      <c r="M10" s="1">
        <v>44391</v>
      </c>
      <c r="N10" s="1">
        <v>40972</v>
      </c>
      <c r="O10" s="1">
        <v>40972</v>
      </c>
    </row>
    <row r="11" spans="1:15" x14ac:dyDescent="0.3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tr">
        <f t="shared" si="1"/>
        <v>10th Vice President of the United States</v>
      </c>
      <c r="G11" t="s">
        <v>37</v>
      </c>
      <c r="H11" t="s">
        <v>33</v>
      </c>
      <c r="I11" t="s">
        <v>38</v>
      </c>
      <c r="J11" t="str">
        <f t="shared" si="2"/>
        <v>Office vacant</v>
      </c>
      <c r="K11" s="3">
        <v>50000</v>
      </c>
      <c r="L11" s="1">
        <v>44391</v>
      </c>
      <c r="M11" s="1">
        <v>44391</v>
      </c>
      <c r="N11" s="1">
        <v>40972</v>
      </c>
      <c r="O11" s="1">
        <v>40972</v>
      </c>
    </row>
    <row r="12" spans="1:15" x14ac:dyDescent="0.3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tr">
        <f t="shared" si="1"/>
        <v>9th Governor of Tennessee (1839â€“1841)</v>
      </c>
      <c r="G12" t="s">
        <v>26</v>
      </c>
      <c r="H12" t="s">
        <v>26</v>
      </c>
      <c r="I12" t="s">
        <v>41</v>
      </c>
      <c r="J12" t="str">
        <f t="shared" si="2"/>
        <v>George M. Dallas</v>
      </c>
      <c r="K12" s="3">
        <v>55000</v>
      </c>
      <c r="L12" s="1">
        <v>44391</v>
      </c>
      <c r="M12" s="1">
        <v>44391</v>
      </c>
      <c r="N12" s="1">
        <v>40972</v>
      </c>
      <c r="O12" s="1">
        <v>40972</v>
      </c>
    </row>
    <row r="13" spans="1:15" x14ac:dyDescent="0.3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tr">
        <f t="shared" si="1"/>
        <v>Major General of the 1st Infantry Regiment United States Army (1846â€“1849)</v>
      </c>
      <c r="G13" t="s">
        <v>33</v>
      </c>
      <c r="H13" t="s">
        <v>33</v>
      </c>
      <c r="I13" t="s">
        <v>44</v>
      </c>
      <c r="J13" t="str">
        <f t="shared" si="2"/>
        <v>Millard Fillmore</v>
      </c>
      <c r="K13" s="3">
        <v>60000</v>
      </c>
      <c r="L13" s="1">
        <v>44391</v>
      </c>
      <c r="M13" s="1">
        <v>44391</v>
      </c>
      <c r="N13" s="1">
        <v>40972</v>
      </c>
      <c r="O13" s="1">
        <v>40972</v>
      </c>
    </row>
    <row r="14" spans="1:15" x14ac:dyDescent="0.3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tr">
        <f t="shared" si="1"/>
        <v>12th Vice President of the United States</v>
      </c>
      <c r="G14" t="s">
        <v>33</v>
      </c>
      <c r="H14" t="s">
        <v>33</v>
      </c>
      <c r="I14" t="s">
        <v>38</v>
      </c>
      <c r="J14" t="str">
        <f t="shared" si="2"/>
        <v>Office vacant</v>
      </c>
      <c r="K14" s="3">
        <v>65000</v>
      </c>
      <c r="L14" s="1">
        <v>44391</v>
      </c>
      <c r="M14" s="1">
        <v>44391</v>
      </c>
      <c r="N14" s="1">
        <v>40972</v>
      </c>
      <c r="O14" s="1">
        <v>40972</v>
      </c>
    </row>
    <row r="15" spans="1:15" x14ac:dyDescent="0.3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tr">
        <f t="shared" si="1"/>
        <v>Brigadier General of the 9th Infantry United States Army (1847â€“1848)</v>
      </c>
      <c r="G15" t="s">
        <v>26</v>
      </c>
      <c r="H15" t="s">
        <v>26</v>
      </c>
      <c r="I15" t="s">
        <v>49</v>
      </c>
      <c r="J15" t="str">
        <f t="shared" si="2"/>
        <v>William R. King</v>
      </c>
      <c r="K15" s="3">
        <v>75000</v>
      </c>
      <c r="L15" s="1">
        <v>44391</v>
      </c>
      <c r="M15" s="1">
        <v>44391</v>
      </c>
      <c r="N15" s="1">
        <v>40972</v>
      </c>
      <c r="O15" s="1">
        <v>40972</v>
      </c>
    </row>
    <row r="16" spans="1:15" x14ac:dyDescent="0.3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tr">
        <f t="shared" si="1"/>
        <v>United States Minister to the Court of St James's (1853â€“1856)</v>
      </c>
      <c r="G16" t="s">
        <v>26</v>
      </c>
      <c r="H16" t="s">
        <v>26</v>
      </c>
      <c r="I16" t="s">
        <v>52</v>
      </c>
      <c r="J16" t="str">
        <f t="shared" si="2"/>
        <v>John C. Breckinridge</v>
      </c>
      <c r="K16" s="3">
        <v>85000</v>
      </c>
      <c r="L16" s="1">
        <v>44391</v>
      </c>
      <c r="M16" s="1">
        <v>44391</v>
      </c>
      <c r="N16" s="1">
        <v>40972</v>
      </c>
      <c r="O16" s="1">
        <v>40972</v>
      </c>
    </row>
    <row r="17" spans="1:15" x14ac:dyDescent="0.3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tr">
        <f t="shared" si="1"/>
        <v>U.S. Representative for Illinois' 7th District (1847â€“1849)</v>
      </c>
      <c r="G17" t="s">
        <v>60</v>
      </c>
      <c r="H17" t="s">
        <v>60</v>
      </c>
      <c r="I17" t="s">
        <v>55</v>
      </c>
      <c r="J17" t="str">
        <f t="shared" si="2"/>
        <v>Hannibal Hamlin</v>
      </c>
      <c r="K17" s="3">
        <v>95000</v>
      </c>
      <c r="L17" s="1">
        <v>44391</v>
      </c>
      <c r="M17" s="1">
        <v>44391</v>
      </c>
      <c r="N17" s="1">
        <v>40972</v>
      </c>
      <c r="O17" s="1">
        <v>40972</v>
      </c>
    </row>
    <row r="18" spans="1:15" x14ac:dyDescent="0.3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tr">
        <f t="shared" si="1"/>
        <v>16th Vice President of the United States</v>
      </c>
      <c r="G18" t="s">
        <v>26</v>
      </c>
      <c r="H18" t="s">
        <v>26</v>
      </c>
      <c r="I18" t="s">
        <v>38</v>
      </c>
      <c r="J18" t="str">
        <f t="shared" si="2"/>
        <v>Office vacant</v>
      </c>
      <c r="K18" s="3">
        <v>105000</v>
      </c>
      <c r="L18" s="1">
        <v>44391</v>
      </c>
      <c r="M18" s="1">
        <v>44391</v>
      </c>
      <c r="N18" s="1">
        <v>40972</v>
      </c>
      <c r="O18" s="1">
        <v>40972</v>
      </c>
    </row>
    <row r="19" spans="1:15" x14ac:dyDescent="0.3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tr">
        <f t="shared" si="1"/>
        <v>Commanding General of the U.S. Army ( 1864â€“1869 )</v>
      </c>
      <c r="G19" t="s">
        <v>60</v>
      </c>
      <c r="H19" t="s">
        <v>60</v>
      </c>
      <c r="I19" t="s">
        <v>61</v>
      </c>
      <c r="J19" t="str">
        <f t="shared" si="2"/>
        <v>Schuyler Colfax</v>
      </c>
      <c r="K19" s="3">
        <v>115000</v>
      </c>
      <c r="L19" s="1">
        <v>44391</v>
      </c>
      <c r="M19" s="1">
        <v>44391</v>
      </c>
      <c r="N19" s="1">
        <v>40972</v>
      </c>
      <c r="O19" s="1">
        <v>40972</v>
      </c>
    </row>
    <row r="20" spans="1:15" x14ac:dyDescent="0.3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tr">
        <f t="shared" si="1"/>
        <v>29th &amp; 32nd Governor of Ohio (1868â€“1872 &amp; 1876â€“1877)</v>
      </c>
      <c r="G20" t="s">
        <v>60</v>
      </c>
      <c r="H20" t="s">
        <v>60</v>
      </c>
      <c r="I20" t="s">
        <v>64</v>
      </c>
      <c r="J20" t="str">
        <f t="shared" si="2"/>
        <v>William A. Wheeler</v>
      </c>
      <c r="K20" s="3">
        <v>125000</v>
      </c>
      <c r="L20" s="1">
        <v>44391</v>
      </c>
      <c r="M20" s="1">
        <v>44391</v>
      </c>
      <c r="N20" s="1">
        <v>40972</v>
      </c>
      <c r="O20" s="1">
        <v>40972</v>
      </c>
    </row>
    <row r="21" spans="1:15" x14ac:dyDescent="0.3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tr">
        <f t="shared" si="1"/>
        <v>U.S. Representative for Ohio's 19th District (1863â€“1881)</v>
      </c>
      <c r="G21" t="s">
        <v>60</v>
      </c>
      <c r="H21" t="s">
        <v>60</v>
      </c>
      <c r="I21" t="s">
        <v>67</v>
      </c>
      <c r="J21" t="str">
        <f t="shared" si="2"/>
        <v>Chester A. Arthur</v>
      </c>
      <c r="K21" s="3">
        <v>135000</v>
      </c>
      <c r="L21" s="1">
        <v>44391</v>
      </c>
      <c r="M21" s="1">
        <v>44391</v>
      </c>
      <c r="N21" s="1">
        <v>40972</v>
      </c>
      <c r="O21" s="1">
        <v>40972</v>
      </c>
    </row>
    <row r="22" spans="1:15" x14ac:dyDescent="0.3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tr">
        <f t="shared" si="1"/>
        <v>20th Vice President of the United States</v>
      </c>
      <c r="G22" t="s">
        <v>60</v>
      </c>
      <c r="H22" t="s">
        <v>60</v>
      </c>
      <c r="I22" t="s">
        <v>38</v>
      </c>
      <c r="J22" t="str">
        <f t="shared" si="2"/>
        <v>Office vacant</v>
      </c>
      <c r="K22" s="3">
        <v>145000</v>
      </c>
      <c r="L22" s="1">
        <v>44391</v>
      </c>
      <c r="M22" s="1">
        <v>44391</v>
      </c>
      <c r="N22" s="1">
        <v>40972</v>
      </c>
      <c r="O22" s="1">
        <v>40972</v>
      </c>
    </row>
    <row r="23" spans="1:15" x14ac:dyDescent="0.3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tr">
        <f t="shared" si="1"/>
        <v>28th Governor of New York (1883â€“1885)</v>
      </c>
      <c r="G23" t="s">
        <v>26</v>
      </c>
      <c r="H23" t="s">
        <v>26</v>
      </c>
      <c r="I23" t="s">
        <v>71</v>
      </c>
      <c r="J23" t="str">
        <f t="shared" si="2"/>
        <v>Thomas A. Hendricks</v>
      </c>
      <c r="K23" s="3">
        <v>155000</v>
      </c>
      <c r="L23" s="1">
        <v>44391</v>
      </c>
      <c r="M23" s="1">
        <v>44391</v>
      </c>
      <c r="N23" s="1">
        <v>40972</v>
      </c>
      <c r="O23" s="1">
        <v>40972</v>
      </c>
    </row>
    <row r="24" spans="1:15" x14ac:dyDescent="0.3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tr">
        <f t="shared" si="1"/>
        <v>U.S. Senator ( Class 1 ) from Indiana (1881â€“1887)</v>
      </c>
      <c r="G24" t="s">
        <v>60</v>
      </c>
      <c r="H24" t="s">
        <v>60</v>
      </c>
      <c r="I24" t="s">
        <v>74</v>
      </c>
      <c r="J24" t="str">
        <f t="shared" si="2"/>
        <v>Levi P. Morton</v>
      </c>
      <c r="K24" s="3">
        <v>165000</v>
      </c>
      <c r="L24" s="1">
        <v>44391</v>
      </c>
      <c r="M24" s="1">
        <v>44391</v>
      </c>
      <c r="N24" s="1">
        <v>40972</v>
      </c>
      <c r="O24" s="1">
        <v>40972</v>
      </c>
    </row>
    <row r="25" spans="1:15" x14ac:dyDescent="0.3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tr">
        <f t="shared" si="1"/>
        <v>22nd President of the United States (1885â€“1889)</v>
      </c>
      <c r="G25" t="s">
        <v>26</v>
      </c>
      <c r="H25" t="s">
        <v>26</v>
      </c>
      <c r="I25" t="s">
        <v>76</v>
      </c>
      <c r="J25" t="str">
        <f t="shared" si="2"/>
        <v>Adlai Stevenson</v>
      </c>
      <c r="K25" s="3">
        <v>175000</v>
      </c>
      <c r="L25" s="1">
        <v>44391</v>
      </c>
      <c r="M25" s="1">
        <v>44391</v>
      </c>
      <c r="N25" s="1">
        <v>40972</v>
      </c>
      <c r="O25" s="1">
        <v>40972</v>
      </c>
    </row>
    <row r="26" spans="1:15" x14ac:dyDescent="0.3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tr">
        <f t="shared" si="1"/>
        <v>39th Governor of Ohio (1892â€“1896)</v>
      </c>
      <c r="G26" t="s">
        <v>60</v>
      </c>
      <c r="H26" t="s">
        <v>60</v>
      </c>
      <c r="I26" t="s">
        <v>79</v>
      </c>
      <c r="J26" t="str">
        <f t="shared" si="2"/>
        <v>Garret Hobart</v>
      </c>
      <c r="K26" s="3">
        <v>185000</v>
      </c>
      <c r="L26" s="1">
        <v>44391</v>
      </c>
      <c r="M26" s="1">
        <v>44391</v>
      </c>
      <c r="N26" s="1">
        <v>40972</v>
      </c>
      <c r="O26" s="1">
        <v>40972</v>
      </c>
    </row>
    <row r="27" spans="1:15" x14ac:dyDescent="0.3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tr">
        <f t="shared" si="1"/>
        <v>25th Vice President of the United States</v>
      </c>
      <c r="G27" t="s">
        <v>60</v>
      </c>
      <c r="H27" t="s">
        <v>60</v>
      </c>
      <c r="I27" t="s">
        <v>38</v>
      </c>
      <c r="J27" t="str">
        <f t="shared" si="2"/>
        <v>Office vacant</v>
      </c>
      <c r="K27" s="3">
        <v>195000</v>
      </c>
      <c r="L27" s="1">
        <v>44391</v>
      </c>
      <c r="M27" s="1">
        <v>44391</v>
      </c>
      <c r="N27" s="1">
        <v>40972</v>
      </c>
      <c r="O27" s="1">
        <v>40972</v>
      </c>
    </row>
    <row r="28" spans="1:15" x14ac:dyDescent="0.3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tr">
        <f t="shared" si="1"/>
        <v>42nd United States Secretary of War (1904â€“1908)</v>
      </c>
      <c r="G28" t="s">
        <v>60</v>
      </c>
      <c r="H28" t="s">
        <v>60</v>
      </c>
      <c r="I28" t="s">
        <v>84</v>
      </c>
      <c r="J28" t="str">
        <f t="shared" si="2"/>
        <v>James S. Sherman</v>
      </c>
      <c r="K28" s="3">
        <v>205000</v>
      </c>
      <c r="L28" s="1">
        <v>44391</v>
      </c>
      <c r="M28" s="1">
        <v>44391</v>
      </c>
      <c r="N28" s="1">
        <v>40972</v>
      </c>
      <c r="O28" s="1">
        <v>40972</v>
      </c>
    </row>
    <row r="29" spans="1:15" x14ac:dyDescent="0.3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tr">
        <f t="shared" si="1"/>
        <v>34th Governor of New Jersey (1911â€“1913)</v>
      </c>
      <c r="G29" t="s">
        <v>26</v>
      </c>
      <c r="H29" t="s">
        <v>26</v>
      </c>
      <c r="I29" t="s">
        <v>87</v>
      </c>
      <c r="J29" t="str">
        <f t="shared" si="2"/>
        <v>Thomas R. Marshall</v>
      </c>
      <c r="K29" s="3">
        <v>225000</v>
      </c>
      <c r="L29" s="1">
        <v>44391</v>
      </c>
      <c r="M29" s="1">
        <v>44391</v>
      </c>
      <c r="N29" s="1">
        <v>40972</v>
      </c>
      <c r="O29" s="1">
        <v>40972</v>
      </c>
    </row>
    <row r="30" spans="1:15" x14ac:dyDescent="0.3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tr">
        <f t="shared" si="1"/>
        <v>34th Governor of New Jersey (1911â€“1913)</v>
      </c>
      <c r="G30" t="s">
        <v>133</v>
      </c>
      <c r="H30" t="s">
        <v>133</v>
      </c>
      <c r="I30" t="s">
        <v>87</v>
      </c>
      <c r="J30" t="str">
        <f t="shared" si="2"/>
        <v>Thomas R. Marshall</v>
      </c>
      <c r="K30" s="3">
        <v>225000</v>
      </c>
      <c r="L30" s="1">
        <v>44391</v>
      </c>
      <c r="M30" s="1">
        <v>44391</v>
      </c>
      <c r="N30" s="1">
        <v>40972</v>
      </c>
      <c r="O30" s="1">
        <v>40972</v>
      </c>
    </row>
    <row r="31" spans="1:15" x14ac:dyDescent="0.3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tr">
        <f t="shared" si="1"/>
        <v>U.S. Senator ( Class 3 ) from Ohio (1915â€“1921)</v>
      </c>
      <c r="G31" t="s">
        <v>60</v>
      </c>
      <c r="H31" t="s">
        <v>60</v>
      </c>
      <c r="I31" t="s">
        <v>90</v>
      </c>
      <c r="J31" t="str">
        <f t="shared" si="2"/>
        <v>Calvin Coolidge</v>
      </c>
      <c r="K31" s="3">
        <v>235000</v>
      </c>
      <c r="L31" s="1">
        <v>44391</v>
      </c>
      <c r="M31" s="1">
        <v>44391</v>
      </c>
      <c r="N31" s="1">
        <v>40972</v>
      </c>
      <c r="O31" s="1">
        <v>40972</v>
      </c>
    </row>
    <row r="32" spans="1:15" x14ac:dyDescent="0.3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tr">
        <f t="shared" si="1"/>
        <v>29th Vice President of the United States</v>
      </c>
      <c r="G32" t="s">
        <v>60</v>
      </c>
      <c r="H32" t="s">
        <v>60</v>
      </c>
      <c r="I32" t="s">
        <v>38</v>
      </c>
      <c r="J32" t="str">
        <f t="shared" si="2"/>
        <v>Office vacant</v>
      </c>
      <c r="K32" s="3">
        <v>245000</v>
      </c>
      <c r="L32" s="1">
        <v>44391</v>
      </c>
      <c r="M32" s="1">
        <v>44391</v>
      </c>
      <c r="N32" s="1">
        <v>40972</v>
      </c>
      <c r="O32" s="1">
        <v>40972</v>
      </c>
    </row>
    <row r="33" spans="1:15" x14ac:dyDescent="0.3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tr">
        <f t="shared" si="1"/>
        <v>3rd United States Secretary of Commerce (1921â€“1928)</v>
      </c>
      <c r="G33" t="s">
        <v>60</v>
      </c>
      <c r="H33" t="s">
        <v>60</v>
      </c>
      <c r="I33" t="s">
        <v>94</v>
      </c>
      <c r="J33" t="str">
        <f t="shared" si="2"/>
        <v>Charles Curtis</v>
      </c>
      <c r="K33" s="3">
        <v>255000</v>
      </c>
      <c r="L33" s="1">
        <v>44391</v>
      </c>
      <c r="M33" s="1">
        <v>44391</v>
      </c>
      <c r="N33" s="1">
        <v>40972</v>
      </c>
      <c r="O33" s="1">
        <v>40972</v>
      </c>
    </row>
    <row r="34" spans="1:15" x14ac:dyDescent="0.3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tr">
        <f t="shared" si="1"/>
        <v>44th Governor of New York ( 1929â€“1932 )</v>
      </c>
      <c r="G34" t="s">
        <v>26</v>
      </c>
      <c r="H34" t="s">
        <v>26</v>
      </c>
      <c r="I34" t="s">
        <v>97</v>
      </c>
      <c r="J34" t="str">
        <f t="shared" si="2"/>
        <v>John Nance Garner</v>
      </c>
      <c r="K34" s="3">
        <v>265000</v>
      </c>
      <c r="L34" s="1">
        <v>44391</v>
      </c>
      <c r="M34" s="1">
        <v>44391</v>
      </c>
      <c r="N34" s="1">
        <v>40972</v>
      </c>
      <c r="O34" s="1">
        <v>40972</v>
      </c>
    </row>
    <row r="35" spans="1:15" x14ac:dyDescent="0.3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tr">
        <f t="shared" si="1"/>
        <v>34th Vice President of the United States</v>
      </c>
      <c r="G35" t="s">
        <v>26</v>
      </c>
      <c r="H35" t="s">
        <v>26</v>
      </c>
      <c r="I35" t="s">
        <v>38</v>
      </c>
      <c r="J35" t="str">
        <f t="shared" si="2"/>
        <v>Office vacant</v>
      </c>
      <c r="K35" s="3">
        <v>275000</v>
      </c>
      <c r="L35" s="1">
        <v>44391</v>
      </c>
      <c r="M35" s="1">
        <v>44391</v>
      </c>
      <c r="N35" s="1">
        <v>40972</v>
      </c>
      <c r="O35" s="1">
        <v>40972</v>
      </c>
    </row>
    <row r="36" spans="1:15" x14ac:dyDescent="0.3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tr">
        <f t="shared" si="1"/>
        <v>Supreme Allied Commander Europe ( 1949â€“1952 )</v>
      </c>
      <c r="G36" t="s">
        <v>60</v>
      </c>
      <c r="H36" t="s">
        <v>60</v>
      </c>
      <c r="I36" t="s">
        <v>102</v>
      </c>
      <c r="J36" t="str">
        <f t="shared" si="2"/>
        <v>Richard Nixon</v>
      </c>
      <c r="K36" s="3">
        <v>285000</v>
      </c>
      <c r="L36" s="1">
        <v>44391</v>
      </c>
      <c r="M36" s="1">
        <v>44391</v>
      </c>
      <c r="N36" s="1">
        <v>40972</v>
      </c>
      <c r="O36" s="1">
        <v>40972</v>
      </c>
    </row>
    <row r="37" spans="1:15" x14ac:dyDescent="0.3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tr">
        <f t="shared" si="1"/>
        <v>U.S. Senator ( Class 1 ) from Massachusetts (1953â€“1960)</v>
      </c>
      <c r="G37" t="s">
        <v>26</v>
      </c>
      <c r="H37" t="s">
        <v>26</v>
      </c>
      <c r="I37" t="s">
        <v>105</v>
      </c>
      <c r="J37" t="str">
        <f t="shared" si="2"/>
        <v>Lyndon B. Johnson</v>
      </c>
      <c r="K37" s="3">
        <v>295000</v>
      </c>
      <c r="L37" s="1">
        <v>44391</v>
      </c>
      <c r="M37" s="1">
        <v>44391</v>
      </c>
      <c r="N37" s="1">
        <v>40972</v>
      </c>
      <c r="O37" s="1">
        <v>40972</v>
      </c>
    </row>
    <row r="38" spans="1:15" x14ac:dyDescent="0.3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tr">
        <f t="shared" si="1"/>
        <v>37th Vice President of the United States</v>
      </c>
      <c r="G38" t="s">
        <v>26</v>
      </c>
      <c r="H38" t="s">
        <v>26</v>
      </c>
      <c r="I38" t="s">
        <v>38</v>
      </c>
      <c r="J38" t="str">
        <f t="shared" si="2"/>
        <v>Office vacant</v>
      </c>
      <c r="K38" s="3">
        <v>305000</v>
      </c>
      <c r="L38" s="1">
        <v>44391</v>
      </c>
      <c r="M38" s="1">
        <v>44391</v>
      </c>
      <c r="N38" s="1">
        <v>40972</v>
      </c>
      <c r="O38" s="1">
        <v>40972</v>
      </c>
    </row>
    <row r="39" spans="1:15" x14ac:dyDescent="0.3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tr">
        <f t="shared" si="1"/>
        <v>36th Vice President of the United States (1953â€“1961)</v>
      </c>
      <c r="G39" t="s">
        <v>60</v>
      </c>
      <c r="H39" t="s">
        <v>60</v>
      </c>
      <c r="I39" t="s">
        <v>108</v>
      </c>
      <c r="J39" t="str">
        <f t="shared" si="2"/>
        <v>Spiro Agnew</v>
      </c>
      <c r="K39" s="3">
        <v>315000</v>
      </c>
      <c r="L39" s="1">
        <v>44391</v>
      </c>
      <c r="M39" s="1">
        <v>44391</v>
      </c>
      <c r="N39" s="1">
        <v>40972</v>
      </c>
      <c r="O39" s="1">
        <v>40972</v>
      </c>
    </row>
    <row r="40" spans="1:15" x14ac:dyDescent="0.3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tr">
        <f t="shared" si="1"/>
        <v>40th Vice President of the United States</v>
      </c>
      <c r="G40" t="s">
        <v>60</v>
      </c>
      <c r="H40" t="s">
        <v>60</v>
      </c>
      <c r="I40" t="s">
        <v>38</v>
      </c>
      <c r="J40" t="str">
        <f t="shared" si="2"/>
        <v>Office vacant</v>
      </c>
      <c r="K40" s="3">
        <v>325000</v>
      </c>
      <c r="L40" s="1">
        <v>44391</v>
      </c>
      <c r="M40" s="1">
        <v>44391</v>
      </c>
      <c r="N40" s="1">
        <v>40972</v>
      </c>
      <c r="O40" s="1">
        <v>40972</v>
      </c>
    </row>
    <row r="41" spans="1:15" x14ac:dyDescent="0.3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tr">
        <f t="shared" si="1"/>
        <v>76th Governor of Georgia (1971â€“1975)</v>
      </c>
      <c r="G41" t="s">
        <v>26</v>
      </c>
      <c r="H41" t="s">
        <v>26</v>
      </c>
      <c r="I41" t="s">
        <v>113</v>
      </c>
      <c r="J41" t="str">
        <f t="shared" si="2"/>
        <v>Walter Mondale</v>
      </c>
      <c r="K41" s="3">
        <v>335000</v>
      </c>
      <c r="L41" s="1">
        <v>44391</v>
      </c>
      <c r="M41" s="1">
        <v>44391</v>
      </c>
      <c r="N41" s="1">
        <v>40972</v>
      </c>
      <c r="O41" s="1">
        <v>40972</v>
      </c>
    </row>
    <row r="42" spans="1:15" x14ac:dyDescent="0.3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tr">
        <f t="shared" si="1"/>
        <v>33rd Governor of California ( 1967â€“1975 )</v>
      </c>
      <c r="G42" t="s">
        <v>60</v>
      </c>
      <c r="H42" t="s">
        <v>60</v>
      </c>
      <c r="I42" t="s">
        <v>116</v>
      </c>
      <c r="J42" t="str">
        <f t="shared" si="2"/>
        <v>George H. W. Bush</v>
      </c>
      <c r="K42" s="3">
        <v>345000</v>
      </c>
      <c r="L42" s="1">
        <v>44391</v>
      </c>
      <c r="M42" s="1">
        <v>44391</v>
      </c>
      <c r="N42" s="1">
        <v>40972</v>
      </c>
      <c r="O42" s="1">
        <v>40972</v>
      </c>
    </row>
    <row r="43" spans="1:15" x14ac:dyDescent="0.3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tr">
        <f t="shared" si="1"/>
        <v>43rd Vice President of the United States</v>
      </c>
      <c r="G43" t="s">
        <v>60</v>
      </c>
      <c r="H43" t="s">
        <v>60</v>
      </c>
      <c r="I43" t="s">
        <v>118</v>
      </c>
      <c r="J43" t="str">
        <f t="shared" si="2"/>
        <v>Dan Quayle</v>
      </c>
      <c r="K43" s="3">
        <v>355000</v>
      </c>
      <c r="L43" s="1">
        <v>44391</v>
      </c>
      <c r="M43" s="1">
        <v>44391</v>
      </c>
      <c r="N43" s="1">
        <v>40972</v>
      </c>
      <c r="O43" s="1">
        <v>40972</v>
      </c>
    </row>
    <row r="44" spans="1:15" x14ac:dyDescent="0.3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tr">
        <f t="shared" si="1"/>
        <v>40th &amp; 42nd Governor of Arkansas (1979â€“1981 &amp; 1983â€“1992)</v>
      </c>
      <c r="G44" t="s">
        <v>26</v>
      </c>
      <c r="H44" t="s">
        <v>26</v>
      </c>
      <c r="I44" t="s">
        <v>121</v>
      </c>
      <c r="J44" t="str">
        <f t="shared" si="2"/>
        <v>Al Gore</v>
      </c>
      <c r="K44" s="3">
        <v>365000</v>
      </c>
      <c r="L44" s="1">
        <v>44391</v>
      </c>
      <c r="M44" s="1">
        <v>44391</v>
      </c>
      <c r="N44" s="1">
        <v>40972</v>
      </c>
      <c r="O44" s="1">
        <v>40972</v>
      </c>
    </row>
    <row r="45" spans="1:15" x14ac:dyDescent="0.3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tr">
        <f t="shared" si="1"/>
        <v>46th Governor of Texas ( 1995â€“2000 )</v>
      </c>
      <c r="G45" t="s">
        <v>60</v>
      </c>
      <c r="H45" t="s">
        <v>60</v>
      </c>
      <c r="I45" t="s">
        <v>124</v>
      </c>
      <c r="J45" t="str">
        <f t="shared" si="2"/>
        <v>Dick Cheney</v>
      </c>
      <c r="K45" s="3">
        <v>375000</v>
      </c>
      <c r="L45" s="1">
        <v>44391</v>
      </c>
      <c r="M45" s="1">
        <v>44391</v>
      </c>
      <c r="N45" s="1">
        <v>40972</v>
      </c>
      <c r="O45" s="1">
        <v>40972</v>
      </c>
    </row>
    <row r="46" spans="1:15" x14ac:dyDescent="0.3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tr">
        <f t="shared" si="1"/>
        <v>U.S. Senator ( Class 3 ) from Illinois ( 2005â€“2008 )</v>
      </c>
      <c r="G46" t="s">
        <v>26</v>
      </c>
      <c r="H46" t="s">
        <v>26</v>
      </c>
      <c r="I46" t="s">
        <v>127</v>
      </c>
      <c r="J46" t="str">
        <f t="shared" si="2"/>
        <v>Joe Biden</v>
      </c>
      <c r="K46" s="3">
        <v>395000</v>
      </c>
      <c r="L46" s="2">
        <v>44391</v>
      </c>
      <c r="M46" s="1">
        <v>44391</v>
      </c>
      <c r="N46" s="2">
        <v>43862</v>
      </c>
      <c r="O46" s="1">
        <v>43862</v>
      </c>
    </row>
    <row r="47" spans="1:15" x14ac:dyDescent="0.3">
      <c r="A47">
        <v>44</v>
      </c>
      <c r="B47">
        <v>45</v>
      </c>
      <c r="C47" t="s">
        <v>128</v>
      </c>
      <c r="D47" t="str">
        <f t="shared" si="0"/>
        <v>Donald Trump</v>
      </c>
      <c r="E47" t="s">
        <v>129</v>
      </c>
      <c r="F47" t="str">
        <f t="shared" si="1"/>
        <v>Chairman of The Trump Organization ( 1971â€“present )</v>
      </c>
      <c r="G47" t="s">
        <v>132</v>
      </c>
      <c r="H47" t="s">
        <v>60</v>
      </c>
      <c r="I47" t="s">
        <v>130</v>
      </c>
      <c r="J47" t="str">
        <f t="shared" si="2"/>
        <v>Mike Pence</v>
      </c>
      <c r="K47" s="3">
        <v>405000</v>
      </c>
      <c r="L47" s="2">
        <v>44391</v>
      </c>
      <c r="M47" s="1">
        <v>44391</v>
      </c>
      <c r="N47" s="2">
        <v>43862</v>
      </c>
      <c r="O47" s="1">
        <v>43862</v>
      </c>
    </row>
    <row r="48" spans="1:15" x14ac:dyDescent="0.3">
      <c r="K48"/>
    </row>
  </sheetData>
  <autoFilter ref="A1:N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Sam-Ehumadu</cp:lastModifiedBy>
  <dcterms:created xsi:type="dcterms:W3CDTF">2022-02-27T01:14:16Z</dcterms:created>
  <dcterms:modified xsi:type="dcterms:W3CDTF">2025-12-25T17:29:00Z</dcterms:modified>
</cp:coreProperties>
</file>